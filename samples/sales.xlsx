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<sst xmlns="http://schemas.openxmlformats.org/spreadsheetml/2006/main" count="211" uniqueCount="30">
  <si>
    <t>Order</t>
  </si>
  <si>
    <t>Date</t>
  </si>
  <si>
    <t>Region</t>
  </si>
  <si>
    <t>Sales Rep</t>
  </si>
  <si>
    <t>Product</t>
  </si>
  <si>
    <t>Units</t>
  </si>
  <si>
    <t>Unit Price</t>
  </si>
  <si>
    <t>Total</t>
  </si>
  <si>
    <t>Status</t>
  </si>
  <si>
    <t>West</t>
  </si>
  <si>
    <t>Eli Novak</t>
  </si>
  <si>
    <t>Doohickey</t>
  </si>
  <si>
    <t>Shipped</t>
  </si>
  <si>
    <t>North</t>
  </si>
  <si>
    <t>Chen Wei</t>
  </si>
  <si>
    <t>Gizmo</t>
  </si>
  <si>
    <t>Returned</t>
  </si>
  <si>
    <t>Gadget</t>
  </si>
  <si>
    <t>Pending</t>
  </si>
  <si>
    <t>South</t>
  </si>
  <si>
    <t>Dana Kim</t>
  </si>
  <si>
    <t>Sprocket</t>
  </si>
  <si>
    <t>Ana Ruiz</t>
  </si>
  <si>
    <t>East</t>
  </si>
  <si>
    <t>Ben Okafor</t>
  </si>
  <si>
    <t>Widget</t>
  </si>
  <si>
    <t>Revenue</t>
  </si>
  <si>
    <t>Orders</t>
  </si>
  <si>
    <t>Avg. order</t>
  </si>
  <si>
    <t>Best region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</si>
</sst>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2" fillId="0" borderId="1" xfId="0" applyFont="1" applyBorder="1"/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Summary!$B$1</c:f>
              <c:strCache>
                <c:ptCount val="1"/>
                <c:pt idx="0">
                  <c:v>Revenue</c:v>
                </c:pt>
              </c:strCache>
            </c:strRef>
          </c:tx>
          <c:cat>
            <c:strRef>
              <c:f>Summary!$A$2:$A$5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11</xdr:col>
      <xdr:colOff>533400</xdr:colOff>
      <xdr:row>14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3.5703125" customWidth="1"/>
    <col min="3" max="3" width="10.85546875" customWidth="1"/>
    <col min="4" max="4" width="15.42578125" customWidth="1"/>
    <col min="5" max="5" width="14" customWidth="1"/>
    <col min="6" max="6" width="8.7109375" customWidth="1"/>
    <col min="7" max="7" width="12.140625" customWidth="1"/>
    <col min="8" max="8" width="13.5703125" customWidth="1"/>
    <col min="9" max="9" width="12.14062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1001</v>
      </c>
      <c r="B2" s="2">
        <v>45295</v>
      </c>
      <c r="C2" t="s">
        <v>9</v>
      </c>
      <c r="D2" t="s">
        <v>10</v>
      </c>
      <c r="E2" t="s">
        <v>11</v>
      </c>
      <c r="F2">
        <v>9</v>
      </c>
      <c r="G2" s="3">
        <v>3.5</v>
      </c>
      <c r="H2" s="3" t="str">
        <f>F2*G2</f>
        <v>$31.50</v>
      </c>
      <c r="I2" t="s">
        <v>12</v>
      </c>
    </row>
    <row r="3" spans="1:9">
      <c r="A3">
        <v>1002</v>
      </c>
      <c r="B3" s="2">
        <v>45301</v>
      </c>
      <c r="C3" t="s">
        <v>13</v>
      </c>
      <c r="D3" t="s">
        <v>14</v>
      </c>
      <c r="E3" t="s">
        <v>15</v>
      </c>
      <c r="F3">
        <v>8</v>
      </c>
      <c r="G3" s="3">
        <v>42</v>
      </c>
      <c r="H3" s="3" t="str">
        <f>F3*G3</f>
        <v>$336.00</v>
      </c>
      <c r="I3" t="s">
        <v>16</v>
      </c>
    </row>
    <row r="4" spans="1:9">
      <c r="A4">
        <v>1003</v>
      </c>
      <c r="B4" s="2">
        <v>45312</v>
      </c>
      <c r="C4" t="s">
        <v>13</v>
      </c>
      <c r="D4" t="s">
        <v>10</v>
      </c>
      <c r="E4" t="s">
        <v>17</v>
      </c>
      <c r="F4">
        <v>14</v>
      </c>
      <c r="G4" s="3">
        <v>120</v>
      </c>
      <c r="H4" s="3" t="str">
        <f>F4*G4</f>
        <v>$1,680.00</v>
      </c>
      <c r="I4" t="s">
        <v>18</v>
      </c>
    </row>
    <row r="5" spans="1:9">
      <c r="A5">
        <v>1004</v>
      </c>
      <c r="B5" s="2">
        <v>45316</v>
      </c>
      <c r="C5" t="s">
        <v>19</v>
      </c>
      <c r="D5" t="s">
        <v>20</v>
      </c>
      <c r="E5" t="s">
        <v>21</v>
      </c>
      <c r="F5">
        <v>30</v>
      </c>
      <c r="G5" s="3">
        <v>7.25</v>
      </c>
      <c r="H5" s="3" t="str">
        <f>F5*G5</f>
        <v>$217.50</v>
      </c>
      <c r="I5" t="s">
        <v>12</v>
      </c>
    </row>
    <row r="6" spans="1:9">
      <c r="A6">
        <v>1005</v>
      </c>
      <c r="B6" s="2">
        <v>45325</v>
      </c>
      <c r="C6" t="s">
        <v>19</v>
      </c>
      <c r="D6" t="s">
        <v>14</v>
      </c>
      <c r="E6" t="s">
        <v>15</v>
      </c>
      <c r="F6">
        <v>36</v>
      </c>
      <c r="G6" s="3">
        <v>42</v>
      </c>
      <c r="H6" s="3" t="str">
        <f>F6*G6</f>
        <v>$1,512.00</v>
      </c>
      <c r="I6" t="s">
        <v>16</v>
      </c>
    </row>
    <row r="7" spans="1:9">
      <c r="A7">
        <v>1006</v>
      </c>
      <c r="B7" s="2">
        <v>45330</v>
      </c>
      <c r="C7" t="s">
        <v>13</v>
      </c>
      <c r="D7" t="s">
        <v>10</v>
      </c>
      <c r="E7" t="s">
        <v>17</v>
      </c>
      <c r="F7">
        <v>25</v>
      </c>
      <c r="G7" s="3">
        <v>120</v>
      </c>
      <c r="H7" s="3" t="str">
        <f>F7*G7</f>
        <v>$3,000.00</v>
      </c>
      <c r="I7" t="s">
        <v>16</v>
      </c>
    </row>
    <row r="8" spans="1:9">
      <c r="A8">
        <v>1007</v>
      </c>
      <c r="B8" s="2">
        <v>45336</v>
      </c>
      <c r="C8" t="s">
        <v>13</v>
      </c>
      <c r="D8" t="s">
        <v>10</v>
      </c>
      <c r="E8" t="s">
        <v>11</v>
      </c>
      <c r="F8">
        <v>4</v>
      </c>
      <c r="G8" s="3">
        <v>3.5</v>
      </c>
      <c r="H8" s="3" t="str">
        <f>F8*G8</f>
        <v>$14.00</v>
      </c>
      <c r="I8" t="s">
        <v>18</v>
      </c>
    </row>
    <row r="9" spans="1:9">
      <c r="A9">
        <v>1008</v>
      </c>
      <c r="B9" s="2">
        <v>45346</v>
      </c>
      <c r="C9" t="s">
        <v>13</v>
      </c>
      <c r="D9" t="s">
        <v>14</v>
      </c>
      <c r="E9" t="s">
        <v>11</v>
      </c>
      <c r="F9">
        <v>38</v>
      </c>
      <c r="G9" s="3">
        <v>3.5</v>
      </c>
      <c r="H9" s="3" t="str">
        <f>F9*G9</f>
        <v>$133.00</v>
      </c>
      <c r="I9" t="s">
        <v>12</v>
      </c>
    </row>
    <row r="10" spans="1:9">
      <c r="A10">
        <v>1009</v>
      </c>
      <c r="B10" s="2">
        <v>45353</v>
      </c>
      <c r="C10" t="s">
        <v>19</v>
      </c>
      <c r="D10" t="s">
        <v>14</v>
      </c>
      <c r="E10" t="s">
        <v>11</v>
      </c>
      <c r="F10">
        <v>22</v>
      </c>
      <c r="G10" s="3">
        <v>3.5</v>
      </c>
      <c r="H10" s="3" t="str">
        <f>F10*G10</f>
        <v>$77.00</v>
      </c>
      <c r="I10" t="s">
        <v>12</v>
      </c>
    </row>
    <row r="11" spans="1:9">
      <c r="A11">
        <v>1010</v>
      </c>
      <c r="B11" s="2">
        <v>45361</v>
      </c>
      <c r="C11" t="s">
        <v>13</v>
      </c>
      <c r="D11" t="s">
        <v>14</v>
      </c>
      <c r="E11" t="s">
        <v>21</v>
      </c>
      <c r="F11">
        <v>17</v>
      </c>
      <c r="G11" s="3">
        <v>7.25</v>
      </c>
      <c r="H11" s="3" t="str">
        <f>F11*G11</f>
        <v>$123.25</v>
      </c>
      <c r="I11" t="s">
        <v>12</v>
      </c>
    </row>
    <row r="12" spans="1:9">
      <c r="A12">
        <v>1011</v>
      </c>
      <c r="B12" s="2">
        <v>45366</v>
      </c>
      <c r="C12" t="s">
        <v>19</v>
      </c>
      <c r="D12" t="s">
        <v>14</v>
      </c>
      <c r="E12" t="s">
        <v>17</v>
      </c>
      <c r="F12">
        <v>27</v>
      </c>
      <c r="G12" s="3">
        <v>120</v>
      </c>
      <c r="H12" s="3" t="str">
        <f>F12*G12</f>
        <v>$3,240.00</v>
      </c>
      <c r="I12" t="s">
        <v>12</v>
      </c>
    </row>
    <row r="13" spans="1:9">
      <c r="A13">
        <v>1012</v>
      </c>
      <c r="B13" s="2">
        <v>45375</v>
      </c>
      <c r="C13" t="s">
        <v>9</v>
      </c>
      <c r="D13" t="s">
        <v>22</v>
      </c>
      <c r="E13" t="s">
        <v>21</v>
      </c>
      <c r="F13">
        <v>25</v>
      </c>
      <c r="G13" s="3">
        <v>7.25</v>
      </c>
      <c r="H13" s="3" t="str">
        <f>F13*G13</f>
        <v>$181.25</v>
      </c>
      <c r="I13" t="s">
        <v>12</v>
      </c>
    </row>
    <row r="14" spans="1:9">
      <c r="A14">
        <v>1013</v>
      </c>
      <c r="B14" s="2">
        <v>45381</v>
      </c>
      <c r="C14" t="s">
        <v>23</v>
      </c>
      <c r="D14" t="s">
        <v>22</v>
      </c>
      <c r="E14" t="s">
        <v>11</v>
      </c>
      <c r="F14">
        <v>24</v>
      </c>
      <c r="G14" s="3">
        <v>3.5</v>
      </c>
      <c r="H14" s="3" t="str">
        <f>F14*G14</f>
        <v>$84.00</v>
      </c>
      <c r="I14" t="s">
        <v>12</v>
      </c>
    </row>
    <row r="15" spans="1:9">
      <c r="A15">
        <v>1014</v>
      </c>
      <c r="B15" s="2">
        <v>45388</v>
      </c>
      <c r="C15" t="s">
        <v>23</v>
      </c>
      <c r="D15" t="s">
        <v>14</v>
      </c>
      <c r="E15" t="s">
        <v>11</v>
      </c>
      <c r="F15">
        <v>26</v>
      </c>
      <c r="G15" s="3">
        <v>3.5</v>
      </c>
      <c r="H15" s="3" t="str">
        <f>F15*G15</f>
        <v>$91.00</v>
      </c>
      <c r="I15" t="s">
        <v>12</v>
      </c>
    </row>
    <row r="16" spans="1:9">
      <c r="A16">
        <v>1015</v>
      </c>
      <c r="B16" s="2">
        <v>45395</v>
      </c>
      <c r="C16" t="s">
        <v>19</v>
      </c>
      <c r="D16" t="s">
        <v>22</v>
      </c>
      <c r="E16" t="s">
        <v>15</v>
      </c>
      <c r="F16">
        <v>14</v>
      </c>
      <c r="G16" s="3">
        <v>42</v>
      </c>
      <c r="H16" s="3" t="str">
        <f>F16*G16</f>
        <v>$588.00</v>
      </c>
      <c r="I16" t="s">
        <v>12</v>
      </c>
    </row>
    <row r="17" spans="1:9">
      <c r="A17">
        <v>1016</v>
      </c>
      <c r="B17" s="2">
        <v>45403</v>
      </c>
      <c r="C17" t="s">
        <v>9</v>
      </c>
      <c r="D17" t="s">
        <v>14</v>
      </c>
      <c r="E17" t="s">
        <v>17</v>
      </c>
      <c r="F17">
        <v>25</v>
      </c>
      <c r="G17" s="3">
        <v>120</v>
      </c>
      <c r="H17" s="3" t="str">
        <f>F17*G17</f>
        <v>$3,000.00</v>
      </c>
      <c r="I17" t="s">
        <v>12</v>
      </c>
    </row>
    <row r="18" spans="1:9">
      <c r="A18">
        <v>1017</v>
      </c>
      <c r="B18" s="2">
        <v>45408</v>
      </c>
      <c r="C18" t="s">
        <v>13</v>
      </c>
      <c r="D18" t="s">
        <v>24</v>
      </c>
      <c r="E18" t="s">
        <v>11</v>
      </c>
      <c r="F18">
        <v>35</v>
      </c>
      <c r="G18" s="3">
        <v>3.5</v>
      </c>
      <c r="H18" s="3" t="str">
        <f>F18*G18</f>
        <v>$122.50</v>
      </c>
      <c r="I18" t="s">
        <v>12</v>
      </c>
    </row>
    <row r="19" spans="1:9">
      <c r="A19">
        <v>1018</v>
      </c>
      <c r="B19" s="2">
        <v>45413</v>
      </c>
      <c r="C19" t="s">
        <v>19</v>
      </c>
      <c r="D19" t="s">
        <v>24</v>
      </c>
      <c r="E19" t="s">
        <v>25</v>
      </c>
      <c r="F19">
        <v>19</v>
      </c>
      <c r="G19" s="3">
        <v>19.99</v>
      </c>
      <c r="H19" s="3" t="str">
        <f>F19*G19</f>
        <v>$379.81</v>
      </c>
      <c r="I19" t="s">
        <v>16</v>
      </c>
    </row>
    <row r="20" spans="1:9">
      <c r="A20">
        <v>1019</v>
      </c>
      <c r="B20" s="2">
        <v>45422</v>
      </c>
      <c r="C20" t="s">
        <v>23</v>
      </c>
      <c r="D20" t="s">
        <v>24</v>
      </c>
      <c r="E20" t="s">
        <v>21</v>
      </c>
      <c r="F20">
        <v>34</v>
      </c>
      <c r="G20" s="3">
        <v>7.25</v>
      </c>
      <c r="H20" s="3" t="str">
        <f>F20*G20</f>
        <v>$246.50</v>
      </c>
      <c r="I20" t="s">
        <v>16</v>
      </c>
    </row>
    <row r="21" spans="1:9">
      <c r="A21">
        <v>1020</v>
      </c>
      <c r="B21" s="2">
        <v>45429</v>
      </c>
      <c r="C21" t="s">
        <v>9</v>
      </c>
      <c r="D21" t="s">
        <v>14</v>
      </c>
      <c r="E21" t="s">
        <v>15</v>
      </c>
      <c r="F21">
        <v>22</v>
      </c>
      <c r="G21" s="3">
        <v>42</v>
      </c>
      <c r="H21" s="3" t="str">
        <f>F21*G21</f>
        <v>$924.00</v>
      </c>
      <c r="I21" t="s">
        <v>16</v>
      </c>
    </row>
    <row r="22" spans="1:9">
      <c r="A22">
        <v>1021</v>
      </c>
      <c r="B22" s="2">
        <v>45435</v>
      </c>
      <c r="C22" t="s">
        <v>13</v>
      </c>
      <c r="D22" t="s">
        <v>10</v>
      </c>
      <c r="E22" t="s">
        <v>15</v>
      </c>
      <c r="F22">
        <v>6</v>
      </c>
      <c r="G22" s="3">
        <v>42</v>
      </c>
      <c r="H22" s="3" t="str">
        <f>F22*G22</f>
        <v>$252.00</v>
      </c>
      <c r="I22" t="s">
        <v>12</v>
      </c>
    </row>
    <row r="23" spans="1:9">
      <c r="A23">
        <v>1022</v>
      </c>
      <c r="B23" s="2">
        <v>45441</v>
      </c>
      <c r="C23" t="s">
        <v>23</v>
      </c>
      <c r="D23" t="s">
        <v>20</v>
      </c>
      <c r="E23" t="s">
        <v>25</v>
      </c>
      <c r="F23">
        <v>17</v>
      </c>
      <c r="G23" s="3">
        <v>19.99</v>
      </c>
      <c r="H23" s="3" t="str">
        <f>F23*G23</f>
        <v>$339.83</v>
      </c>
      <c r="I23" t="s">
        <v>16</v>
      </c>
    </row>
    <row r="24" spans="1:9">
      <c r="A24">
        <v>1023</v>
      </c>
      <c r="B24" s="2">
        <v>45449</v>
      </c>
      <c r="C24" t="s">
        <v>23</v>
      </c>
      <c r="D24" t="s">
        <v>14</v>
      </c>
      <c r="E24" t="s">
        <v>21</v>
      </c>
      <c r="F24">
        <v>31</v>
      </c>
      <c r="G24" s="3">
        <v>7.25</v>
      </c>
      <c r="H24" s="3" t="str">
        <f>F24*G24</f>
        <v>$224.75</v>
      </c>
      <c r="I24" t="s">
        <v>12</v>
      </c>
    </row>
    <row r="25" spans="1:9">
      <c r="A25">
        <v>1024</v>
      </c>
      <c r="B25" s="2">
        <v>45458</v>
      </c>
      <c r="C25" t="s">
        <v>23</v>
      </c>
      <c r="D25" t="s">
        <v>20</v>
      </c>
      <c r="E25" t="s">
        <v>11</v>
      </c>
      <c r="F25">
        <v>25</v>
      </c>
      <c r="G25" s="3">
        <v>3.5</v>
      </c>
      <c r="H25" s="3" t="str">
        <f>F25*G25</f>
        <v>$87.50</v>
      </c>
      <c r="I25" t="s">
        <v>18</v>
      </c>
    </row>
    <row r="26" spans="1:9">
      <c r="A26">
        <v>1025</v>
      </c>
      <c r="B26" s="2">
        <v>45463</v>
      </c>
      <c r="C26" t="s">
        <v>13</v>
      </c>
      <c r="D26" t="s">
        <v>24</v>
      </c>
      <c r="E26" t="s">
        <v>15</v>
      </c>
      <c r="F26">
        <v>25</v>
      </c>
      <c r="G26" s="3">
        <v>42</v>
      </c>
      <c r="H26" s="3" t="str">
        <f>F26*G26</f>
        <v>$1,050.00</v>
      </c>
      <c r="I26" t="s">
        <v>18</v>
      </c>
    </row>
    <row r="27" spans="1:9">
      <c r="A27">
        <v>1026</v>
      </c>
      <c r="B27" s="2">
        <v>45471</v>
      </c>
      <c r="C27" t="s">
        <v>23</v>
      </c>
      <c r="D27" t="s">
        <v>20</v>
      </c>
      <c r="E27" t="s">
        <v>15</v>
      </c>
      <c r="F27">
        <v>34</v>
      </c>
      <c r="G27" s="3">
        <v>42</v>
      </c>
      <c r="H27" s="3" t="str">
        <f>F27*G27</f>
        <v>$1,428.00</v>
      </c>
      <c r="I27" t="s">
        <v>12</v>
      </c>
    </row>
    <row r="28" spans="1:9">
      <c r="A28">
        <v>1027</v>
      </c>
      <c r="B28" s="2">
        <v>45476</v>
      </c>
      <c r="C28" t="s">
        <v>9</v>
      </c>
      <c r="D28" t="s">
        <v>20</v>
      </c>
      <c r="E28" t="s">
        <v>17</v>
      </c>
      <c r="F28">
        <v>32</v>
      </c>
      <c r="G28" s="3">
        <v>120</v>
      </c>
      <c r="H28" s="3" t="str">
        <f>F28*G28</f>
        <v>$3,840.00</v>
      </c>
      <c r="I28" t="s">
        <v>12</v>
      </c>
    </row>
    <row r="29" spans="1:9">
      <c r="A29">
        <v>1028</v>
      </c>
      <c r="B29" s="2">
        <v>45487</v>
      </c>
      <c r="C29" t="s">
        <v>9</v>
      </c>
      <c r="D29" t="s">
        <v>10</v>
      </c>
      <c r="E29" t="s">
        <v>25</v>
      </c>
      <c r="F29">
        <v>16</v>
      </c>
      <c r="G29" s="3">
        <v>19.99</v>
      </c>
      <c r="H29" s="3" t="str">
        <f>F29*G29</f>
        <v>$319.84</v>
      </c>
      <c r="I29" t="s">
        <v>12</v>
      </c>
    </row>
    <row r="30" spans="1:9">
      <c r="A30">
        <v>1029</v>
      </c>
      <c r="B30" s="2">
        <v>45494</v>
      </c>
      <c r="C30" t="s">
        <v>19</v>
      </c>
      <c r="D30" t="s">
        <v>20</v>
      </c>
      <c r="E30" t="s">
        <v>17</v>
      </c>
      <c r="F30">
        <v>23</v>
      </c>
      <c r="G30" s="3">
        <v>120</v>
      </c>
      <c r="H30" s="3" t="str">
        <f>F30*G30</f>
        <v>$2,760.00</v>
      </c>
      <c r="I30" t="s">
        <v>18</v>
      </c>
    </row>
    <row r="31" spans="1:9">
      <c r="A31">
        <v>1030</v>
      </c>
      <c r="B31" s="2">
        <v>45498</v>
      </c>
      <c r="C31" t="s">
        <v>9</v>
      </c>
      <c r="D31" t="s">
        <v>22</v>
      </c>
      <c r="E31" t="s">
        <v>17</v>
      </c>
      <c r="F31">
        <v>3</v>
      </c>
      <c r="G31" s="3">
        <v>120</v>
      </c>
      <c r="H31" s="3" t="str">
        <f>F31*G31</f>
        <v>$360.00</v>
      </c>
      <c r="I31" t="s">
        <v>16</v>
      </c>
    </row>
    <row r="32" spans="1:9">
      <c r="A32">
        <v>1031</v>
      </c>
      <c r="B32" s="2">
        <v>45507</v>
      </c>
      <c r="C32" t="s">
        <v>23</v>
      </c>
      <c r="D32" t="s">
        <v>24</v>
      </c>
      <c r="E32" t="s">
        <v>25</v>
      </c>
      <c r="F32">
        <v>19</v>
      </c>
      <c r="G32" s="3">
        <v>19.99</v>
      </c>
      <c r="H32" s="3" t="str">
        <f>F32*G32</f>
        <v>$379.81</v>
      </c>
      <c r="I32" t="s">
        <v>18</v>
      </c>
    </row>
    <row r="33" spans="1:9">
      <c r="A33">
        <v>1032</v>
      </c>
      <c r="B33" s="2">
        <v>45514</v>
      </c>
      <c r="C33" t="s">
        <v>19</v>
      </c>
      <c r="D33" t="s">
        <v>22</v>
      </c>
      <c r="E33" t="s">
        <v>17</v>
      </c>
      <c r="F33">
        <v>9</v>
      </c>
      <c r="G33" s="3">
        <v>120</v>
      </c>
      <c r="H33" s="3" t="str">
        <f>F33*G33</f>
        <v>$1,080.00</v>
      </c>
      <c r="I33" t="s">
        <v>18</v>
      </c>
    </row>
    <row r="34" spans="1:9">
      <c r="A34">
        <v>1033</v>
      </c>
      <c r="B34" s="2">
        <v>45519</v>
      </c>
      <c r="C34" t="s">
        <v>23</v>
      </c>
      <c r="D34" t="s">
        <v>24</v>
      </c>
      <c r="E34" t="s">
        <v>21</v>
      </c>
      <c r="F34">
        <v>26</v>
      </c>
      <c r="G34" s="3">
        <v>7.25</v>
      </c>
      <c r="H34" s="3" t="str">
        <f>F34*G34</f>
        <v>$188.50</v>
      </c>
      <c r="I34" t="s">
        <v>12</v>
      </c>
    </row>
    <row r="35" spans="1:9">
      <c r="A35">
        <v>1034</v>
      </c>
      <c r="B35" s="2">
        <v>45528</v>
      </c>
      <c r="C35" t="s">
        <v>13</v>
      </c>
      <c r="D35" t="s">
        <v>22</v>
      </c>
      <c r="E35" t="s">
        <v>15</v>
      </c>
      <c r="F35">
        <v>13</v>
      </c>
      <c r="G35" s="3">
        <v>42</v>
      </c>
      <c r="H35" s="3" t="str">
        <f>F35*G35</f>
        <v>$546.00</v>
      </c>
      <c r="I35" t="s">
        <v>16</v>
      </c>
    </row>
    <row r="36" spans="1:9">
      <c r="A36">
        <v>1035</v>
      </c>
      <c r="B36" s="2">
        <v>45533</v>
      </c>
      <c r="C36" t="s">
        <v>13</v>
      </c>
      <c r="D36" t="s">
        <v>20</v>
      </c>
      <c r="E36" t="s">
        <v>21</v>
      </c>
      <c r="F36">
        <v>20</v>
      </c>
      <c r="G36" s="3">
        <v>7.25</v>
      </c>
      <c r="H36" s="3" t="str">
        <f>F36*G36</f>
        <v>$145.00</v>
      </c>
      <c r="I36" t="s">
        <v>12</v>
      </c>
    </row>
    <row r="37" spans="1:9">
      <c r="A37">
        <v>1036</v>
      </c>
      <c r="B37" s="2">
        <v>45541</v>
      </c>
      <c r="C37" t="s">
        <v>13</v>
      </c>
      <c r="D37" t="s">
        <v>22</v>
      </c>
      <c r="E37" t="s">
        <v>17</v>
      </c>
      <c r="F37">
        <v>1</v>
      </c>
      <c r="G37" s="3">
        <v>120</v>
      </c>
      <c r="H37" s="3" t="str">
        <f>F37*G37</f>
        <v>$120.00</v>
      </c>
      <c r="I37" t="s">
        <v>16</v>
      </c>
    </row>
    <row r="38" spans="1:9">
      <c r="A38">
        <v>1037</v>
      </c>
      <c r="B38" s="2">
        <v>45548</v>
      </c>
      <c r="C38" t="s">
        <v>23</v>
      </c>
      <c r="D38" t="s">
        <v>22</v>
      </c>
      <c r="E38" t="s">
        <v>17</v>
      </c>
      <c r="F38">
        <v>27</v>
      </c>
      <c r="G38" s="3">
        <v>120</v>
      </c>
      <c r="H38" s="3" t="str">
        <f>F38*G38</f>
        <v>$3,240.00</v>
      </c>
      <c r="I38" t="s">
        <v>12</v>
      </c>
    </row>
    <row r="39" spans="1:9">
      <c r="A39">
        <v>1038</v>
      </c>
      <c r="B39" s="2">
        <v>45554</v>
      </c>
      <c r="C39" t="s">
        <v>13</v>
      </c>
      <c r="D39" t="s">
        <v>22</v>
      </c>
      <c r="E39" t="s">
        <v>15</v>
      </c>
      <c r="F39">
        <v>1</v>
      </c>
      <c r="G39" s="3">
        <v>42</v>
      </c>
      <c r="H39" s="3" t="str">
        <f>F39*G39</f>
        <v>$42.00</v>
      </c>
      <c r="I39" t="s">
        <v>12</v>
      </c>
    </row>
    <row r="40" spans="1:9">
      <c r="A40">
        <v>1039</v>
      </c>
      <c r="B40" s="2">
        <v>45560</v>
      </c>
      <c r="C40" t="s">
        <v>9</v>
      </c>
      <c r="D40" t="s">
        <v>14</v>
      </c>
      <c r="E40" t="s">
        <v>21</v>
      </c>
      <c r="F40">
        <v>20</v>
      </c>
      <c r="G40" s="3">
        <v>7.25</v>
      </c>
      <c r="H40" s="3" t="str">
        <f>F40*G40</f>
        <v>$145.00</v>
      </c>
      <c r="I40" t="s">
        <v>12</v>
      </c>
    </row>
    <row r="41" spans="1:9">
      <c r="A41">
        <v>1040</v>
      </c>
      <c r="B41" s="2">
        <v>45569</v>
      </c>
      <c r="C41" t="s">
        <v>9</v>
      </c>
      <c r="D41" t="s">
        <v>20</v>
      </c>
      <c r="E41" t="s">
        <v>25</v>
      </c>
      <c r="F41">
        <v>29</v>
      </c>
      <c r="G41" s="3">
        <v>19.99</v>
      </c>
      <c r="H41" s="3" t="str">
        <f>F41*G41</f>
        <v>$579.71</v>
      </c>
      <c r="I41" t="s">
        <v>12</v>
      </c>
    </row>
    <row r="42" spans="1:9">
      <c r="A42">
        <v>1041</v>
      </c>
      <c r="B42" s="2">
        <v>45578</v>
      </c>
      <c r="C42" t="s">
        <v>13</v>
      </c>
      <c r="D42" t="s">
        <v>22</v>
      </c>
      <c r="E42" t="s">
        <v>11</v>
      </c>
      <c r="F42">
        <v>18</v>
      </c>
      <c r="G42" s="3">
        <v>3.5</v>
      </c>
      <c r="H42" s="3" t="str">
        <f>F42*G42</f>
        <v>$63.00</v>
      </c>
      <c r="I42" t="s">
        <v>12</v>
      </c>
    </row>
    <row r="43" spans="1:9">
      <c r="A43">
        <v>1042</v>
      </c>
      <c r="B43" s="2">
        <v>45583</v>
      </c>
      <c r="C43" t="s">
        <v>19</v>
      </c>
      <c r="D43" t="s">
        <v>14</v>
      </c>
      <c r="E43" t="s">
        <v>25</v>
      </c>
      <c r="F43">
        <v>1</v>
      </c>
      <c r="G43" s="3">
        <v>19.99</v>
      </c>
      <c r="H43" s="3" t="str">
        <f>F43*G43</f>
        <v>$19.99</v>
      </c>
      <c r="I43" t="s">
        <v>18</v>
      </c>
    </row>
    <row r="44" spans="1:9">
      <c r="A44">
        <v>1043</v>
      </c>
      <c r="B44" s="2">
        <v>45592</v>
      </c>
      <c r="C44" t="s">
        <v>9</v>
      </c>
      <c r="D44" t="s">
        <v>24</v>
      </c>
      <c r="E44" t="s">
        <v>21</v>
      </c>
      <c r="F44">
        <v>8</v>
      </c>
      <c r="G44" s="3">
        <v>7.25</v>
      </c>
      <c r="H44" s="3" t="str">
        <f>F44*G44</f>
        <v>$58.00</v>
      </c>
      <c r="I44" t="s">
        <v>12</v>
      </c>
    </row>
    <row r="45" spans="1:9">
      <c r="A45">
        <v>1044</v>
      </c>
      <c r="B45" s="2">
        <v>45596</v>
      </c>
      <c r="C45" t="s">
        <v>23</v>
      </c>
      <c r="D45" t="s">
        <v>22</v>
      </c>
      <c r="E45" t="s">
        <v>21</v>
      </c>
      <c r="F45">
        <v>36</v>
      </c>
      <c r="G45" s="3">
        <v>7.25</v>
      </c>
      <c r="H45" s="3" t="str">
        <f>F45*G45</f>
        <v>$261.00</v>
      </c>
      <c r="I45" t="s">
        <v>12</v>
      </c>
    </row>
    <row r="46" spans="1:9">
      <c r="A46">
        <v>1045</v>
      </c>
      <c r="B46" s="2">
        <v>45604</v>
      </c>
      <c r="C46" t="s">
        <v>13</v>
      </c>
      <c r="D46" t="s">
        <v>24</v>
      </c>
      <c r="E46" t="s">
        <v>21</v>
      </c>
      <c r="F46">
        <v>29</v>
      </c>
      <c r="G46" s="3">
        <v>7.25</v>
      </c>
      <c r="H46" s="3" t="str">
        <f>F46*G46</f>
        <v>$210.25</v>
      </c>
      <c r="I46" t="s">
        <v>16</v>
      </c>
    </row>
    <row r="47" spans="1:9">
      <c r="A47">
        <v>1046</v>
      </c>
      <c r="B47" s="2">
        <v>45610</v>
      </c>
      <c r="C47" t="s">
        <v>19</v>
      </c>
      <c r="D47" t="s">
        <v>10</v>
      </c>
      <c r="E47" t="s">
        <v>25</v>
      </c>
      <c r="F47">
        <v>35</v>
      </c>
      <c r="G47" s="3">
        <v>19.99</v>
      </c>
      <c r="H47" s="3" t="str">
        <f>F47*G47</f>
        <v>$699.65</v>
      </c>
      <c r="I47" t="s">
        <v>16</v>
      </c>
    </row>
    <row r="48" spans="1:9">
      <c r="A48">
        <v>1047</v>
      </c>
      <c r="B48" s="2">
        <v>45619</v>
      </c>
      <c r="C48" t="s">
        <v>19</v>
      </c>
      <c r="D48" t="s">
        <v>20</v>
      </c>
      <c r="E48" t="s">
        <v>11</v>
      </c>
      <c r="F48">
        <v>34</v>
      </c>
      <c r="G48" s="3">
        <v>3.5</v>
      </c>
      <c r="H48" s="3" t="str">
        <f>F48*G48</f>
        <v>$119.00</v>
      </c>
      <c r="I48" t="s">
        <v>18</v>
      </c>
    </row>
    <row r="49" spans="1:9">
      <c r="A49">
        <v>1048</v>
      </c>
      <c r="B49" s="2">
        <v>45623</v>
      </c>
      <c r="C49" t="s">
        <v>19</v>
      </c>
      <c r="D49" t="s">
        <v>20</v>
      </c>
      <c r="E49" t="s">
        <v>25</v>
      </c>
      <c r="F49">
        <v>25</v>
      </c>
      <c r="G49" s="3">
        <v>19.99</v>
      </c>
      <c r="H49" s="3" t="str">
        <f>F49*G49</f>
        <v>$499.75</v>
      </c>
      <c r="I4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1" max="2" width="15.42578125" customWidth="1"/>
    <col min="3" max="3" width="11.42578125" customWidth="1"/>
    <col min="4" max="4" width="14" customWidth="1"/>
  </cols>
  <sheetData>
    <row r="1" spans="1:4">
      <c r="A1" s="1" t="s">
        <v>2</v>
      </c>
      <c r="B1" s="1" t="s">
        <v>26</v>
      </c>
      <c r="C1" s="1" t="s">
        <v>27</v>
      </c>
      <c r="D1" s="1" t="s">
        <v>28</v>
      </c>
    </row>
    <row r="2" spans="1:4">
      <c r="A2" t="s">
        <v>9</v>
      </c>
      <c r="B2" s="3" t="str">
        <f>SUMIF(Orders!C$2:C$49,A2,Orders!H$2:H$49)</f>
        <v>$9,439.30</v>
      </c>
      <c r="C2">
        <f>COUNTIF(Orders!C$2:C$49,A2)</f>
        <v>10</v>
      </c>
      <c r="D2" s="3" t="str">
        <f>ROUND(B2/C2,2)</f>
        <v>$943.93</v>
      </c>
    </row>
    <row r="3" spans="1:4">
      <c r="A3" t="s">
        <v>23</v>
      </c>
      <c r="B3" s="3" t="str">
        <f>SUMIF(Orders!C$2:C$49,A3,Orders!H$2:H$49)</f>
        <v>$6,570.89</v>
      </c>
      <c r="C3">
        <f>COUNTIF(Orders!C$2:C$49,A3)</f>
        <v>11</v>
      </c>
      <c r="D3" s="3" t="str">
        <f>ROUND(B3/C3,2)</f>
        <v>$597.35</v>
      </c>
    </row>
    <row r="4" spans="1:4">
      <c r="A4" t="s">
        <v>13</v>
      </c>
      <c r="B4" s="3" t="str">
        <f>SUMIF(Orders!C$2:C$49,A4,Orders!H$2:H$49)</f>
        <v>$7,837.00</v>
      </c>
      <c r="C4">
        <f>COUNTIF(Orders!C$2:C$49,A4)</f>
        <v>15</v>
      </c>
      <c r="D4" s="3" t="str">
        <f>ROUND(B4/C4,2)</f>
        <v>$522.47</v>
      </c>
    </row>
    <row r="5" spans="1:4">
      <c r="A5" t="s">
        <v>19</v>
      </c>
      <c r="B5" s="3" t="str">
        <f>SUMIF(Orders!C$2:C$49,A5,Orders!H$2:H$49)</f>
        <v>$11,192.70</v>
      </c>
      <c r="C5">
        <f>COUNTIF(Orders!C$2:C$49,A5)</f>
        <v>12</v>
      </c>
      <c r="D5" s="3" t="str">
        <f>ROUND(B5/C5,2)</f>
        <v>$932.73</v>
      </c>
    </row>
    <row r="6" spans="1:4">
      <c r="A6" s="4" t="s">
        <v>7</v>
      </c>
      <c r="B6" s="5" t="str">
        <f>SUM(B2:B5)</f>
        <v>$35,039.89</v>
      </c>
      <c r="C6" s="4">
        <f>SUM(C2:C5)</f>
        <v>48</v>
      </c>
      <c r="D6" s="5" t="str">
        <f>ROUND(B6/C6,2)</f>
        <v>$730.00</v>
      </c>
    </row>
    <row r="8" spans="1:4">
      <c r="A8" t="s">
        <v>29</v>
      </c>
      <c r="B8" t="str">
        <f>INDEX(A2:A5,MATCH(MAX(B2:B5),B2:B5,0))</f>
        <v>South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2026-10-14T03:24:33Z</dcterms:created>
  <dcterms:modified xsi:type="dcterms:W3CDTF">2026-10-14T03:24:33Z</dcterms:modified>
</cp:coreProperties>
</file>